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a311a4d0d3349b/Documents/Eccentric/"/>
    </mc:Choice>
  </mc:AlternateContent>
  <xr:revisionPtr revIDLastSave="0" documentId="8_{CB966E91-F0C0-4CFE-BF9A-A15047A6F819}" xr6:coauthVersionLast="47" xr6:coauthVersionMax="47" xr10:uidLastSave="{00000000-0000-0000-0000-000000000000}"/>
  <bookViews>
    <workbookView xWindow="-120" yWindow="-120" windowWidth="29040" windowHeight="15840" xr2:uid="{AE96D341-44D8-6F45-9E75-307E8D572C4B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" i="1" l="1"/>
  <c r="T21" i="1"/>
  <c r="J21" i="1"/>
</calcChain>
</file>

<file path=xl/sharedStrings.xml><?xml version="1.0" encoding="utf-8"?>
<sst xmlns="http://schemas.openxmlformats.org/spreadsheetml/2006/main" count="344" uniqueCount="89">
  <si>
    <t>Dias et al. (2015)</t>
  </si>
  <si>
    <t>Pereira et al. (2016)</t>
  </si>
  <si>
    <t>Mike et al. (2017)</t>
  </si>
  <si>
    <t>Kojic et al. (2021)</t>
  </si>
  <si>
    <t>Shibata et al. (2021)</t>
  </si>
  <si>
    <t>Azevedo et al. (2022)</t>
  </si>
  <si>
    <t>Segers et al. (2022)</t>
  </si>
  <si>
    <t>Pearson et al. (2022)</t>
  </si>
  <si>
    <t>measure</t>
  </si>
  <si>
    <t>outcome</t>
  </si>
  <si>
    <t>treatment</t>
  </si>
  <si>
    <t>study</t>
  </si>
  <si>
    <t>descriptor</t>
  </si>
  <si>
    <t>between_arm_within_subject_corr</t>
  </si>
  <si>
    <t>study_design</t>
  </si>
  <si>
    <t>between</t>
  </si>
  <si>
    <t>within</t>
  </si>
  <si>
    <t>norm_pre_mean</t>
  </si>
  <si>
    <t>norm_delta_mean</t>
  </si>
  <si>
    <t>norm_pre_sd</t>
  </si>
  <si>
    <t>norm_post_sd</t>
  </si>
  <si>
    <t>norm_delta_sd</t>
  </si>
  <si>
    <t>slow_pre_mean</t>
  </si>
  <si>
    <t>slow_post_mean</t>
  </si>
  <si>
    <t>slow_delta_mean</t>
  </si>
  <si>
    <t>slow_pre_sd</t>
  </si>
  <si>
    <t>slow_post_sd</t>
  </si>
  <si>
    <t>slow_delta_sd</t>
  </si>
  <si>
    <t>norm_n</t>
  </si>
  <si>
    <t>slow_n</t>
  </si>
  <si>
    <t>norm_p_value</t>
  </si>
  <si>
    <t>slow_p_value</t>
  </si>
  <si>
    <t>norm_pre_post_cor</t>
  </si>
  <si>
    <t>slow_pre_post_cor</t>
  </si>
  <si>
    <t>slow2_pre_mean</t>
  </si>
  <si>
    <t>slow2_post_mean</t>
  </si>
  <si>
    <t>slow2_delta_mean</t>
  </si>
  <si>
    <t>slow2_pre_sd</t>
  </si>
  <si>
    <t>slow2_post_sd</t>
  </si>
  <si>
    <t>slow2_delta_sd</t>
  </si>
  <si>
    <t>slow2_n</t>
  </si>
  <si>
    <t>slow2_p_value</t>
  </si>
  <si>
    <t>slow2_pre_post_cor</t>
  </si>
  <si>
    <t>norm_t_value</t>
  </si>
  <si>
    <t>slow_t_value</t>
  </si>
  <si>
    <t>slow2_t_value</t>
  </si>
  <si>
    <t>norm_post_mean</t>
  </si>
  <si>
    <t>strength</t>
  </si>
  <si>
    <t>hypertrophy</t>
  </si>
  <si>
    <t>power</t>
  </si>
  <si>
    <t>training_status</t>
  </si>
  <si>
    <t>study_duration</t>
  </si>
  <si>
    <t>match_vl_stf</t>
  </si>
  <si>
    <t>multi_joint</t>
  </si>
  <si>
    <t>vl</t>
  </si>
  <si>
    <t>stf</t>
  </si>
  <si>
    <t>ut</t>
  </si>
  <si>
    <t>t</t>
  </si>
  <si>
    <t>mj</t>
  </si>
  <si>
    <t>sj</t>
  </si>
  <si>
    <t>muscle_group</t>
  </si>
  <si>
    <t>arm</t>
  </si>
  <si>
    <t>thigh</t>
  </si>
  <si>
    <t>rob_1</t>
  </si>
  <si>
    <t>rob_2</t>
  </si>
  <si>
    <t>rob_3</t>
  </si>
  <si>
    <t>rob_4</t>
  </si>
  <si>
    <t>rob_5</t>
  </si>
  <si>
    <t>rob_overall</t>
  </si>
  <si>
    <t>~</t>
  </si>
  <si>
    <t>+</t>
  </si>
  <si>
    <t>-</t>
  </si>
  <si>
    <t>Leg press</t>
  </si>
  <si>
    <t>Leg extension</t>
  </si>
  <si>
    <t>Scott curl</t>
  </si>
  <si>
    <t>Smith squat</t>
  </si>
  <si>
    <t>Back squat</t>
  </si>
  <si>
    <t>Elbow flexor CSA</t>
  </si>
  <si>
    <t>Elbow flexor MT</t>
  </si>
  <si>
    <t>Thigh CSA (30%)</t>
  </si>
  <si>
    <t>Thigh CSA (50%)</t>
  </si>
  <si>
    <t>Thigh CSA (70%)</t>
  </si>
  <si>
    <t>VL MT</t>
  </si>
  <si>
    <t>VM MT</t>
  </si>
  <si>
    <t>RF MT</t>
  </si>
  <si>
    <t>CMJ (Vertec)</t>
  </si>
  <si>
    <t>CMJ</t>
  </si>
  <si>
    <t>Anterior thigh MT (40%)</t>
  </si>
  <si>
    <t>Anterior thigh MT (60%)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</si>
</sst>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527F-032B-9E4F-99C7-E4337AE50D04}">
  <dimension ref="A1:AV33"/>
  <sheetViews>
    <sheetView tabSelected="1" workbookViewId="0">
      <selection activeCell="G7" sqref="G7"/>
    </sheetView>
  </sheetViews>
  <sheetFormatPr defaultColWidth="10.875" defaultRowHeight="12.75" customHeight="1" x14ac:dyDescent="0.2"/>
  <cols>
    <col min="1" max="1" width="14.875" style="1" bestFit="1" customWidth="1"/>
    <col min="2" max="2" width="4.75" style="1" bestFit="1" customWidth="1"/>
    <col min="3" max="3" width="7.125" style="1" bestFit="1" customWidth="1"/>
    <col min="4" max="4" width="9.25" style="1" bestFit="1" customWidth="1"/>
    <col min="5" max="5" width="16.625" style="1" bestFit="1" customWidth="1"/>
    <col min="6" max="6" width="10.125" style="1" bestFit="1" customWidth="1"/>
    <col min="7" max="7" width="24.375" style="1" bestFit="1" customWidth="1"/>
    <col min="8" max="8" width="11.625" style="1" bestFit="1" customWidth="1"/>
    <col min="9" max="9" width="12.5" style="1" bestFit="1" customWidth="1"/>
    <col min="10" max="10" width="12.75" style="1" bestFit="1" customWidth="1"/>
    <col min="11" max="11" width="9.75" style="1" bestFit="1" customWidth="1"/>
    <col min="12" max="12" width="10.625" style="1" bestFit="1" customWidth="1"/>
    <col min="13" max="13" width="10.875" style="1" bestFit="1" customWidth="1"/>
    <col min="14" max="14" width="6" style="1" bestFit="1" customWidth="1"/>
    <col min="15" max="15" width="10.5" style="1" bestFit="1" customWidth="1"/>
    <col min="16" max="16" width="14.25" style="1" bestFit="1" customWidth="1"/>
    <col min="17" max="17" width="10.125" style="1" bestFit="1" customWidth="1"/>
    <col min="18" max="18" width="11.375" style="1" bestFit="1" customWidth="1"/>
    <col min="19" max="19" width="12.25" style="1" bestFit="1" customWidth="1"/>
    <col min="20" max="20" width="12.5" style="1" bestFit="1" customWidth="1"/>
    <col min="21" max="21" width="9.5" style="1" bestFit="1" customWidth="1"/>
    <col min="22" max="22" width="10.375" style="1" bestFit="1" customWidth="1"/>
    <col min="23" max="23" width="10.625" style="1" bestFit="1" customWidth="1"/>
    <col min="24" max="24" width="5.75" style="1" bestFit="1" customWidth="1"/>
    <col min="25" max="25" width="10.25" style="1" bestFit="1" customWidth="1"/>
    <col min="26" max="26" width="14" style="1" bestFit="1" customWidth="1"/>
    <col min="27" max="27" width="9.875" style="1" bestFit="1" customWidth="1"/>
    <col min="28" max="28" width="12.125" style="1" bestFit="1" customWidth="1"/>
    <col min="29" max="29" width="13.125" style="1" bestFit="1" customWidth="1"/>
    <col min="30" max="30" width="13.375" style="1" bestFit="1" customWidth="1"/>
    <col min="31" max="31" width="10.25" style="1" bestFit="1" customWidth="1"/>
    <col min="32" max="32" width="11.125" style="1" bestFit="1" customWidth="1"/>
    <col min="33" max="33" width="11.375" style="1" bestFit="1" customWidth="1"/>
    <col min="34" max="34" width="6.5" style="1" bestFit="1" customWidth="1"/>
    <col min="35" max="35" width="11" style="1" bestFit="1" customWidth="1"/>
    <col min="36" max="36" width="14.75" style="1" bestFit="1" customWidth="1"/>
    <col min="37" max="37" width="10.625" style="1" bestFit="1" customWidth="1"/>
    <col min="38" max="38" width="11" style="1" bestFit="1" customWidth="1"/>
    <col min="39" max="39" width="11.25" style="1" bestFit="1" customWidth="1"/>
    <col min="40" max="40" width="9.625" style="1" bestFit="1" customWidth="1"/>
    <col min="41" max="41" width="8" style="1" bestFit="1" customWidth="1"/>
    <col min="42" max="42" width="19" style="1" customWidth="1"/>
    <col min="43" max="43" width="10.625" style="1" bestFit="1" customWidth="1"/>
    <col min="44" max="44" width="11.125" style="1" bestFit="1" customWidth="1"/>
    <col min="45" max="45" width="6" style="1" bestFit="1" customWidth="1"/>
    <col min="46" max="46" width="6.5" style="1" bestFit="1" customWidth="1"/>
    <col min="47" max="47" width="10.375" style="1" bestFit="1" customWidth="1"/>
    <col min="48" max="48" width="16.875" style="1" bestFit="1" customWidth="1"/>
    <col min="49" max="49" width="17" style="1" bestFit="1" customWidth="1"/>
    <col min="50" max="50" width="13.375" style="1" bestFit="1" customWidth="1"/>
    <col min="51" max="51" width="21.875" style="1" bestFit="1" customWidth="1"/>
    <col min="52" max="52" width="15.375" style="1" bestFit="1" customWidth="1"/>
    <col min="53" max="53" width="12.125" style="1" bestFit="1" customWidth="1"/>
    <col min="54" max="54" width="10.5" style="1" bestFit="1" customWidth="1"/>
    <col min="55" max="55" width="9.5" style="1" bestFit="1" customWidth="1"/>
    <col min="56" max="56" width="5" style="1" bestFit="1" customWidth="1"/>
    <col min="57" max="16384" width="10.875" style="1"/>
  </cols>
  <sheetData>
    <row r="1" spans="1:48" s="2" customFormat="1" ht="16.5" customHeight="1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14</v>
      </c>
      <c r="G1" s="2" t="s">
        <v>13</v>
      </c>
      <c r="H1" s="2" t="s">
        <v>17</v>
      </c>
      <c r="I1" s="2" t="s">
        <v>46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28</v>
      </c>
      <c r="O1" s="2" t="s">
        <v>30</v>
      </c>
      <c r="P1" s="2" t="s">
        <v>32</v>
      </c>
      <c r="Q1" s="2" t="s">
        <v>43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29</v>
      </c>
      <c r="Y1" s="2" t="s">
        <v>31</v>
      </c>
      <c r="Z1" s="2" t="s">
        <v>33</v>
      </c>
      <c r="AA1" s="2" t="s">
        <v>44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45</v>
      </c>
      <c r="AL1" s="2" t="s">
        <v>50</v>
      </c>
      <c r="AM1" s="2" t="s">
        <v>51</v>
      </c>
      <c r="AN1" s="2" t="s">
        <v>52</v>
      </c>
      <c r="AO1" s="2" t="s">
        <v>53</v>
      </c>
      <c r="AP1" s="2" t="s">
        <v>60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2">
      <c r="A2" s="3" t="s">
        <v>0</v>
      </c>
      <c r="B2" s="1">
        <v>1</v>
      </c>
      <c r="C2" s="1">
        <v>1</v>
      </c>
      <c r="D2" s="1" t="s">
        <v>47</v>
      </c>
      <c r="E2" s="1" t="s">
        <v>72</v>
      </c>
      <c r="F2" s="1" t="s">
        <v>15</v>
      </c>
      <c r="H2" s="5">
        <v>85.7</v>
      </c>
      <c r="I2" s="5">
        <v>96.146829999999994</v>
      </c>
      <c r="J2" s="5">
        <v>10.446829999999991</v>
      </c>
      <c r="K2" s="5">
        <v>12.165981715879395</v>
      </c>
      <c r="L2" s="5">
        <v>26.549952918978999</v>
      </c>
      <c r="M2" s="5">
        <v>19.685289999999998</v>
      </c>
      <c r="N2" s="6">
        <v>10</v>
      </c>
      <c r="O2" s="4">
        <v>1.9E-2</v>
      </c>
      <c r="P2" s="4">
        <v>0.72</v>
      </c>
      <c r="Q2" s="4"/>
      <c r="R2" s="5">
        <v>89.777777777777771</v>
      </c>
      <c r="S2" s="5">
        <v>101.7631111111111</v>
      </c>
      <c r="T2" s="5">
        <v>11.98533333333333</v>
      </c>
      <c r="U2" s="5">
        <v>15.5706276188356</v>
      </c>
      <c r="V2" s="5">
        <v>15.419143945109299</v>
      </c>
      <c r="W2" s="5">
        <v>11.150399999999999</v>
      </c>
      <c r="X2" s="6">
        <v>9</v>
      </c>
      <c r="Y2" s="5">
        <v>0.04</v>
      </c>
      <c r="Z2" s="5">
        <v>0.74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56</v>
      </c>
      <c r="AM2" s="1">
        <v>12</v>
      </c>
      <c r="AN2" s="1" t="s">
        <v>54</v>
      </c>
      <c r="AO2" s="1" t="s">
        <v>58</v>
      </c>
      <c r="AQ2" s="1" t="s">
        <v>69</v>
      </c>
      <c r="AR2" s="1" t="s">
        <v>70</v>
      </c>
      <c r="AS2" s="1" t="s">
        <v>70</v>
      </c>
      <c r="AT2" s="1" t="s">
        <v>69</v>
      </c>
      <c r="AU2" s="1" t="s">
        <v>69</v>
      </c>
      <c r="AV2" s="1" t="s">
        <v>69</v>
      </c>
    </row>
    <row r="3" spans="1:48" x14ac:dyDescent="0.2">
      <c r="A3" s="3" t="s">
        <v>0</v>
      </c>
      <c r="B3" s="1">
        <v>1</v>
      </c>
      <c r="C3" s="1">
        <v>1</v>
      </c>
      <c r="D3" s="1" t="s">
        <v>47</v>
      </c>
      <c r="E3" s="1" t="s">
        <v>73</v>
      </c>
      <c r="F3" s="1" t="s">
        <v>15</v>
      </c>
      <c r="H3" s="5">
        <v>29.8</v>
      </c>
      <c r="I3" s="5">
        <v>37.536080000000005</v>
      </c>
      <c r="J3" s="5">
        <v>7.7360800000000047</v>
      </c>
      <c r="K3" s="5">
        <v>5.8271395689099119</v>
      </c>
      <c r="L3" s="5">
        <v>10.945445526691801</v>
      </c>
      <c r="M3" s="5">
        <v>6.5709</v>
      </c>
      <c r="N3" s="6">
        <v>10</v>
      </c>
      <c r="O3" s="7">
        <v>1E-4</v>
      </c>
      <c r="P3" s="5">
        <v>0.87</v>
      </c>
      <c r="Q3" s="5"/>
      <c r="R3" s="5">
        <v>29.888888888888889</v>
      </c>
      <c r="S3" s="5">
        <v>37.113033333333334</v>
      </c>
      <c r="T3" s="5">
        <v>7.2241444444444447</v>
      </c>
      <c r="U3" s="5">
        <v>5.9884147410738917</v>
      </c>
      <c r="V3" s="5">
        <v>8.8459030064770694</v>
      </c>
      <c r="W3" s="5">
        <v>2.89025555555556</v>
      </c>
      <c r="X3" s="6">
        <v>9</v>
      </c>
      <c r="Y3" s="7">
        <v>1E-4</v>
      </c>
      <c r="Z3" s="5">
        <v>1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 t="s">
        <v>56</v>
      </c>
      <c r="AM3" s="1">
        <v>12</v>
      </c>
      <c r="AN3" s="1" t="s">
        <v>54</v>
      </c>
      <c r="AO3" s="1" t="s">
        <v>58</v>
      </c>
      <c r="AQ3" s="1" t="s">
        <v>69</v>
      </c>
      <c r="AR3" s="1" t="s">
        <v>70</v>
      </c>
      <c r="AS3" s="1" t="s">
        <v>70</v>
      </c>
      <c r="AT3" s="1" t="s">
        <v>69</v>
      </c>
      <c r="AU3" s="1" t="s">
        <v>69</v>
      </c>
      <c r="AV3" s="1" t="s">
        <v>69</v>
      </c>
    </row>
    <row r="4" spans="1:48" x14ac:dyDescent="0.2">
      <c r="A4" s="3" t="s">
        <v>1</v>
      </c>
      <c r="B4" s="1">
        <v>2</v>
      </c>
      <c r="C4" s="1">
        <v>1</v>
      </c>
      <c r="D4" s="1" t="s">
        <v>47</v>
      </c>
      <c r="E4" s="1" t="s">
        <v>74</v>
      </c>
      <c r="F4" s="1" t="s">
        <v>15</v>
      </c>
      <c r="G4" s="4"/>
      <c r="H4" s="5">
        <v>49</v>
      </c>
      <c r="I4" s="5">
        <v>59.33</v>
      </c>
      <c r="J4" s="5">
        <v>10.33</v>
      </c>
      <c r="K4" s="5">
        <v>6.42</v>
      </c>
      <c r="L4" s="5">
        <v>14.21</v>
      </c>
      <c r="M4" s="5">
        <v>8.98</v>
      </c>
      <c r="N4" s="6">
        <v>6</v>
      </c>
      <c r="O4" s="5"/>
      <c r="P4" s="5">
        <v>0.89</v>
      </c>
      <c r="Q4" s="5"/>
      <c r="R4" s="5">
        <v>46.33</v>
      </c>
      <c r="S4" s="5">
        <v>61.3</v>
      </c>
      <c r="T4" s="5">
        <v>14.97</v>
      </c>
      <c r="U4" s="5">
        <v>8.07</v>
      </c>
      <c r="V4" s="5">
        <v>15</v>
      </c>
      <c r="W4" s="5">
        <v>5.76</v>
      </c>
      <c r="X4" s="6">
        <v>6</v>
      </c>
      <c r="Y4" s="5"/>
      <c r="Z4" s="5">
        <v>0.71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 t="s">
        <v>57</v>
      </c>
      <c r="AM4" s="1">
        <v>12</v>
      </c>
      <c r="AN4" s="1" t="s">
        <v>55</v>
      </c>
      <c r="AO4" s="1" t="s">
        <v>59</v>
      </c>
      <c r="AQ4" s="1" t="s">
        <v>69</v>
      </c>
      <c r="AR4" s="1" t="s">
        <v>69</v>
      </c>
      <c r="AS4" s="4" t="s">
        <v>70</v>
      </c>
      <c r="AT4" s="4" t="s">
        <v>71</v>
      </c>
      <c r="AU4" s="8" t="s">
        <v>69</v>
      </c>
      <c r="AV4" s="1" t="s">
        <v>71</v>
      </c>
    </row>
    <row r="5" spans="1:48" x14ac:dyDescent="0.2">
      <c r="A5" s="3" t="s">
        <v>2</v>
      </c>
      <c r="B5" s="1">
        <v>3</v>
      </c>
      <c r="C5" s="1">
        <v>1</v>
      </c>
      <c r="D5" s="1" t="s">
        <v>47</v>
      </c>
      <c r="E5" s="1" t="s">
        <v>75</v>
      </c>
      <c r="F5" s="1" t="s">
        <v>15</v>
      </c>
      <c r="H5" s="5">
        <v>124</v>
      </c>
      <c r="I5" s="5">
        <v>135</v>
      </c>
      <c r="J5" s="5">
        <v>11</v>
      </c>
      <c r="K5" s="5">
        <v>20</v>
      </c>
      <c r="L5" s="5">
        <v>23</v>
      </c>
      <c r="M5" s="5">
        <v>10.01180294547026</v>
      </c>
      <c r="N5" s="6">
        <v>10</v>
      </c>
      <c r="O5" s="1">
        <v>7.0000000000000001E-3</v>
      </c>
      <c r="P5" s="5">
        <v>0.9</v>
      </c>
      <c r="Q5" s="5">
        <v>3.17</v>
      </c>
      <c r="R5" s="5">
        <v>129</v>
      </c>
      <c r="S5" s="5">
        <v>146</v>
      </c>
      <c r="T5" s="5">
        <v>17</v>
      </c>
      <c r="U5" s="5">
        <v>22</v>
      </c>
      <c r="V5" s="5">
        <v>30</v>
      </c>
      <c r="W5" s="5">
        <v>10.116427317095441</v>
      </c>
      <c r="X5" s="6">
        <v>9</v>
      </c>
      <c r="Y5" s="4">
        <v>1E-3</v>
      </c>
      <c r="Z5" s="5">
        <v>0.97</v>
      </c>
      <c r="AA5" s="5">
        <v>5.04</v>
      </c>
      <c r="AB5" s="5">
        <v>118</v>
      </c>
      <c r="AC5" s="5">
        <v>133</v>
      </c>
      <c r="AD5" s="5">
        <v>15</v>
      </c>
      <c r="AE5" s="5">
        <v>17</v>
      </c>
      <c r="AF5" s="5">
        <v>17</v>
      </c>
      <c r="AG5" s="5">
        <v>10.845982790934297</v>
      </c>
      <c r="AH5" s="6">
        <v>11</v>
      </c>
      <c r="AI5" s="4">
        <v>1E-3</v>
      </c>
      <c r="AJ5" s="5">
        <v>0.8</v>
      </c>
      <c r="AK5" s="5">
        <v>4.5860000000000003</v>
      </c>
      <c r="AL5" s="5" t="s">
        <v>57</v>
      </c>
      <c r="AM5" s="1">
        <v>4</v>
      </c>
      <c r="AN5" s="1" t="s">
        <v>54</v>
      </c>
      <c r="AO5" s="5" t="s">
        <v>58</v>
      </c>
      <c r="AQ5" s="1" t="s">
        <v>69</v>
      </c>
      <c r="AR5" s="1" t="s">
        <v>70</v>
      </c>
      <c r="AS5" s="1" t="s">
        <v>70</v>
      </c>
      <c r="AT5" s="8" t="s">
        <v>69</v>
      </c>
      <c r="AU5" s="8" t="s">
        <v>69</v>
      </c>
      <c r="AV5" s="8" t="s">
        <v>69</v>
      </c>
    </row>
    <row r="6" spans="1:48" x14ac:dyDescent="0.2">
      <c r="A6" s="3" t="s">
        <v>3</v>
      </c>
      <c r="B6" s="1">
        <v>4</v>
      </c>
      <c r="C6" s="1">
        <v>1</v>
      </c>
      <c r="D6" s="1" t="s">
        <v>47</v>
      </c>
      <c r="E6" s="1" t="s">
        <v>74</v>
      </c>
      <c r="F6" s="1" t="s">
        <v>15</v>
      </c>
      <c r="H6" s="5">
        <v>28.4</v>
      </c>
      <c r="I6" s="5">
        <v>31.7</v>
      </c>
      <c r="J6" s="5">
        <v>3.3</v>
      </c>
      <c r="K6" s="5">
        <v>10.404999999999999</v>
      </c>
      <c r="L6" s="5">
        <v>9.6379999999999999</v>
      </c>
      <c r="M6" s="5">
        <v>2.2629999999999999</v>
      </c>
      <c r="N6" s="6">
        <v>10</v>
      </c>
      <c r="O6" s="5"/>
      <c r="P6" s="5">
        <v>0.98</v>
      </c>
      <c r="Q6" s="5"/>
      <c r="R6" s="5">
        <v>25.5</v>
      </c>
      <c r="S6" s="5">
        <v>31.5</v>
      </c>
      <c r="T6" s="5">
        <v>6</v>
      </c>
      <c r="U6" s="5">
        <v>11.881</v>
      </c>
      <c r="V6" s="5">
        <v>11.108000000000001</v>
      </c>
      <c r="W6" s="5">
        <v>1.764</v>
      </c>
      <c r="X6" s="6">
        <v>10</v>
      </c>
      <c r="Y6" s="5"/>
      <c r="Z6" s="5">
        <v>0.99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 t="s">
        <v>56</v>
      </c>
      <c r="AM6" s="1">
        <v>7</v>
      </c>
      <c r="AN6" s="1" t="s">
        <v>55</v>
      </c>
      <c r="AO6" s="1" t="s">
        <v>59</v>
      </c>
      <c r="AQ6" s="1" t="s">
        <v>69</v>
      </c>
      <c r="AR6" s="1" t="s">
        <v>70</v>
      </c>
      <c r="AS6" s="1" t="s">
        <v>70</v>
      </c>
      <c r="AT6" s="8" t="s">
        <v>69</v>
      </c>
      <c r="AU6" s="1" t="s">
        <v>69</v>
      </c>
      <c r="AV6" s="8" t="s">
        <v>69</v>
      </c>
    </row>
    <row r="7" spans="1:48" x14ac:dyDescent="0.2">
      <c r="A7" s="3" t="s">
        <v>4</v>
      </c>
      <c r="B7" s="1">
        <v>5</v>
      </c>
      <c r="C7" s="1">
        <v>1</v>
      </c>
      <c r="D7" s="1" t="s">
        <v>47</v>
      </c>
      <c r="E7" s="1" t="s">
        <v>76</v>
      </c>
      <c r="F7" s="1" t="s">
        <v>15</v>
      </c>
      <c r="H7" s="5">
        <v>95.9</v>
      </c>
      <c r="I7" s="5">
        <v>113.6</v>
      </c>
      <c r="J7" s="5">
        <v>17.7</v>
      </c>
      <c r="K7" s="5">
        <v>12.2</v>
      </c>
      <c r="L7" s="5">
        <v>14.8</v>
      </c>
      <c r="M7" s="5">
        <v>5.6</v>
      </c>
      <c r="N7" s="6">
        <v>11</v>
      </c>
      <c r="O7" s="5"/>
      <c r="P7" s="5">
        <v>0.93</v>
      </c>
      <c r="Q7" s="5"/>
      <c r="R7" s="5">
        <v>95.5</v>
      </c>
      <c r="S7" s="5">
        <v>105.5</v>
      </c>
      <c r="T7" s="5">
        <v>10</v>
      </c>
      <c r="U7" s="5">
        <v>12.9</v>
      </c>
      <c r="V7" s="5">
        <v>14.9</v>
      </c>
      <c r="W7" s="5">
        <v>5</v>
      </c>
      <c r="X7" s="6">
        <v>11</v>
      </c>
      <c r="Y7" s="5"/>
      <c r="Z7" s="5">
        <v>0.95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 t="s">
        <v>56</v>
      </c>
      <c r="AM7" s="1">
        <v>6</v>
      </c>
      <c r="AN7" s="1" t="s">
        <v>55</v>
      </c>
      <c r="AO7" s="1" t="s">
        <v>58</v>
      </c>
      <c r="AQ7" s="1" t="s">
        <v>69</v>
      </c>
      <c r="AR7" s="1" t="s">
        <v>70</v>
      </c>
      <c r="AS7" s="1" t="s">
        <v>70</v>
      </c>
      <c r="AT7" s="8" t="s">
        <v>69</v>
      </c>
      <c r="AU7" s="1" t="s">
        <v>69</v>
      </c>
      <c r="AV7" s="8" t="s">
        <v>69</v>
      </c>
    </row>
    <row r="8" spans="1:48" x14ac:dyDescent="0.2">
      <c r="A8" s="3" t="s">
        <v>5</v>
      </c>
      <c r="B8" s="1">
        <v>6</v>
      </c>
      <c r="C8" s="1">
        <v>1</v>
      </c>
      <c r="D8" s="1" t="s">
        <v>47</v>
      </c>
      <c r="E8" s="1" t="s">
        <v>73</v>
      </c>
      <c r="F8" s="1" t="s">
        <v>16</v>
      </c>
      <c r="G8" s="1">
        <v>0.70085682391351289</v>
      </c>
      <c r="H8" s="5">
        <v>56.4</v>
      </c>
      <c r="I8" s="5">
        <v>65.8</v>
      </c>
      <c r="J8" s="5">
        <v>9.4</v>
      </c>
      <c r="K8" s="5">
        <v>14.660600000000001</v>
      </c>
      <c r="L8" s="5">
        <v>14.125</v>
      </c>
      <c r="M8" s="5">
        <v>5.3994999999999997</v>
      </c>
      <c r="N8" s="6">
        <v>10</v>
      </c>
      <c r="O8" s="5"/>
      <c r="P8" s="5">
        <v>0.93</v>
      </c>
      <c r="Q8" s="5"/>
      <c r="R8" s="5">
        <v>56</v>
      </c>
      <c r="S8" s="5">
        <v>65.400000000000006</v>
      </c>
      <c r="T8" s="5">
        <v>9.4</v>
      </c>
      <c r="U8" s="5">
        <v>16.799399999999999</v>
      </c>
      <c r="V8" s="5">
        <v>16.056799999999999</v>
      </c>
      <c r="W8" s="5">
        <v>9.7788799999999991</v>
      </c>
      <c r="X8" s="6">
        <v>10</v>
      </c>
      <c r="Y8" s="5"/>
      <c r="Z8" s="5">
        <v>0.82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 t="s">
        <v>56</v>
      </c>
      <c r="AM8" s="1">
        <v>8</v>
      </c>
      <c r="AN8" s="1" t="s">
        <v>55</v>
      </c>
      <c r="AO8" s="1" t="s">
        <v>59</v>
      </c>
      <c r="AQ8" s="1" t="s">
        <v>69</v>
      </c>
      <c r="AR8" s="1" t="s">
        <v>70</v>
      </c>
      <c r="AS8" s="1" t="s">
        <v>70</v>
      </c>
      <c r="AT8" s="1" t="s">
        <v>69</v>
      </c>
      <c r="AU8" s="5" t="s">
        <v>69</v>
      </c>
      <c r="AV8" s="1" t="s">
        <v>69</v>
      </c>
    </row>
    <row r="9" spans="1:48" x14ac:dyDescent="0.2">
      <c r="A9" s="3" t="s">
        <v>6</v>
      </c>
      <c r="B9" s="1">
        <v>7</v>
      </c>
      <c r="C9" s="1">
        <v>1</v>
      </c>
      <c r="D9" s="1" t="s">
        <v>47</v>
      </c>
      <c r="E9" s="1" t="s">
        <v>76</v>
      </c>
      <c r="F9" s="1" t="s">
        <v>15</v>
      </c>
      <c r="H9" s="5">
        <v>140.90909090909091</v>
      </c>
      <c r="I9" s="5">
        <v>152.27272727272728</v>
      </c>
      <c r="J9" s="5">
        <v>11.363636363636363</v>
      </c>
      <c r="K9" s="5">
        <v>18.785390842112093</v>
      </c>
      <c r="L9" s="5">
        <v>18.100226015665726</v>
      </c>
      <c r="M9" s="5">
        <v>5.6439831196191088</v>
      </c>
      <c r="N9" s="6">
        <v>11</v>
      </c>
      <c r="O9" s="5"/>
      <c r="P9" s="5">
        <v>0.95</v>
      </c>
      <c r="Q9" s="5"/>
      <c r="R9" s="5">
        <v>131.09090909090909</v>
      </c>
      <c r="S9" s="5">
        <v>145</v>
      </c>
      <c r="T9" s="5">
        <v>13.909090909090908</v>
      </c>
      <c r="U9" s="5">
        <v>18.538902585938274</v>
      </c>
      <c r="V9" s="5">
        <v>17.320508075688775</v>
      </c>
      <c r="W9" s="5">
        <v>6.5338280579541657</v>
      </c>
      <c r="X9" s="6">
        <v>11</v>
      </c>
      <c r="Y9" s="5"/>
      <c r="Z9" s="5">
        <v>0.94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 t="s">
        <v>57</v>
      </c>
      <c r="AM9" s="1">
        <v>4</v>
      </c>
      <c r="AN9" s="1" t="s">
        <v>54</v>
      </c>
      <c r="AO9" s="1" t="s">
        <v>58</v>
      </c>
      <c r="AQ9" s="1" t="s">
        <v>69</v>
      </c>
      <c r="AR9" s="1" t="s">
        <v>70</v>
      </c>
      <c r="AS9" s="1" t="s">
        <v>70</v>
      </c>
      <c r="AT9" s="1" t="s">
        <v>69</v>
      </c>
      <c r="AU9" s="5" t="s">
        <v>69</v>
      </c>
      <c r="AV9" s="1" t="s">
        <v>69</v>
      </c>
    </row>
    <row r="10" spans="1:48" x14ac:dyDescent="0.2">
      <c r="A10" s="3" t="s">
        <v>7</v>
      </c>
      <c r="B10" s="1">
        <v>8</v>
      </c>
      <c r="C10" s="1">
        <v>1</v>
      </c>
      <c r="D10" s="1" t="s">
        <v>47</v>
      </c>
      <c r="E10" s="1" t="s">
        <v>73</v>
      </c>
      <c r="F10" s="1" t="s">
        <v>16</v>
      </c>
      <c r="G10" s="1">
        <v>0.87344765047601225</v>
      </c>
      <c r="H10" s="5">
        <v>53.375196232339086</v>
      </c>
      <c r="I10" s="5">
        <v>62.445491016919583</v>
      </c>
      <c r="J10" s="5">
        <v>9.0702947845804989</v>
      </c>
      <c r="K10" s="5">
        <v>10.166866908259491</v>
      </c>
      <c r="L10" s="5">
        <v>12.980593026435756</v>
      </c>
      <c r="M10" s="5">
        <v>7.8551057032602154</v>
      </c>
      <c r="N10" s="6">
        <v>13</v>
      </c>
      <c r="O10" s="5"/>
      <c r="P10" s="5">
        <v>0.8</v>
      </c>
      <c r="Q10" s="5"/>
      <c r="R10" s="5">
        <v>53.026338740624453</v>
      </c>
      <c r="S10" s="5">
        <v>63.492063492063487</v>
      </c>
      <c r="T10" s="5">
        <v>10.465724751439037</v>
      </c>
      <c r="U10" s="5">
        <v>10.856700728829876</v>
      </c>
      <c r="V10" s="5">
        <v>13.730840608151889</v>
      </c>
      <c r="W10" s="5">
        <v>7.4943488780536658</v>
      </c>
      <c r="X10" s="6">
        <v>13</v>
      </c>
      <c r="Y10" s="5"/>
      <c r="Z10" s="5">
        <v>0.84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 t="s">
        <v>57</v>
      </c>
      <c r="AM10" s="1">
        <v>8</v>
      </c>
      <c r="AN10" s="1" t="s">
        <v>54</v>
      </c>
      <c r="AO10" s="1" t="s">
        <v>59</v>
      </c>
      <c r="AQ10" s="1" t="s">
        <v>70</v>
      </c>
      <c r="AR10" s="1" t="s">
        <v>70</v>
      </c>
      <c r="AS10" s="1" t="s">
        <v>70</v>
      </c>
      <c r="AT10" s="8" t="s">
        <v>69</v>
      </c>
      <c r="AU10" s="8" t="s">
        <v>69</v>
      </c>
      <c r="AV10" s="8" t="s">
        <v>69</v>
      </c>
    </row>
    <row r="11" spans="1:48" ht="15.75" x14ac:dyDescent="0.25">
      <c r="A11" s="3" t="s">
        <v>1</v>
      </c>
      <c r="B11" s="1">
        <v>1</v>
      </c>
      <c r="C11" s="1">
        <v>1</v>
      </c>
      <c r="D11" s="1" t="s">
        <v>48</v>
      </c>
      <c r="E11" s="1" t="s">
        <v>77</v>
      </c>
      <c r="F11" s="1" t="s">
        <v>15</v>
      </c>
      <c r="G11"/>
      <c r="H11" s="1">
        <v>30.42</v>
      </c>
      <c r="I11" s="1">
        <v>32.369999999999997</v>
      </c>
      <c r="J11" s="1">
        <v>1.94</v>
      </c>
      <c r="K11" s="1">
        <v>3.4</v>
      </c>
      <c r="L11" s="1">
        <v>3.5</v>
      </c>
      <c r="M11" s="5">
        <v>2.06</v>
      </c>
      <c r="N11" s="1">
        <v>6</v>
      </c>
      <c r="O11"/>
      <c r="P11">
        <v>0.82</v>
      </c>
      <c r="Q11"/>
      <c r="R11" s="1">
        <v>29.01</v>
      </c>
      <c r="S11" s="1">
        <v>33.89</v>
      </c>
      <c r="T11" s="1">
        <v>4.88</v>
      </c>
      <c r="U11" s="1">
        <v>3.41</v>
      </c>
      <c r="V11" s="1">
        <v>3.47</v>
      </c>
      <c r="W11" s="1">
        <v>2.2400000000000002</v>
      </c>
      <c r="X11" s="1">
        <v>6</v>
      </c>
      <c r="Y11"/>
      <c r="Z11" s="1">
        <v>0.79</v>
      </c>
      <c r="AA11"/>
      <c r="AB11"/>
      <c r="AC11"/>
      <c r="AD11"/>
      <c r="AE11"/>
      <c r="AF11"/>
      <c r="AG11"/>
      <c r="AH11"/>
      <c r="AI11"/>
      <c r="AJ11"/>
      <c r="AK11"/>
      <c r="AL11" s="5" t="s">
        <v>57</v>
      </c>
      <c r="AM11" s="1">
        <v>12</v>
      </c>
      <c r="AN11" s="1" t="s">
        <v>55</v>
      </c>
      <c r="AO11" s="1" t="s">
        <v>59</v>
      </c>
      <c r="AP11" s="1" t="s">
        <v>61</v>
      </c>
      <c r="AQ11" s="1" t="s">
        <v>69</v>
      </c>
      <c r="AR11" s="1" t="s">
        <v>69</v>
      </c>
      <c r="AS11" s="4" t="s">
        <v>70</v>
      </c>
      <c r="AT11" s="4" t="s">
        <v>71</v>
      </c>
      <c r="AU11" s="8" t="s">
        <v>69</v>
      </c>
      <c r="AV11" s="1" t="s">
        <v>71</v>
      </c>
    </row>
    <row r="12" spans="1:48" ht="15.75" x14ac:dyDescent="0.25">
      <c r="A12" s="3" t="s">
        <v>3</v>
      </c>
      <c r="B12" s="1">
        <v>2</v>
      </c>
      <c r="C12" s="1">
        <v>1</v>
      </c>
      <c r="D12" s="1" t="s">
        <v>48</v>
      </c>
      <c r="E12" s="1" t="s">
        <v>78</v>
      </c>
      <c r="F12" s="1" t="s">
        <v>15</v>
      </c>
      <c r="G12"/>
      <c r="H12" s="1">
        <v>21.05</v>
      </c>
      <c r="I12" s="1">
        <v>24.29</v>
      </c>
      <c r="J12" s="1">
        <v>3.24</v>
      </c>
      <c r="K12" s="1">
        <v>5.2930000000000001</v>
      </c>
      <c r="L12" s="1">
        <v>5.2640000000000002</v>
      </c>
      <c r="M12" s="1">
        <v>2.0110000000000001</v>
      </c>
      <c r="N12" s="1">
        <v>10</v>
      </c>
      <c r="O12"/>
      <c r="P12" s="1">
        <v>0.93</v>
      </c>
      <c r="Q12"/>
      <c r="R12" s="1">
        <v>19.510000000000002</v>
      </c>
      <c r="S12" s="1">
        <v>23.08</v>
      </c>
      <c r="T12" s="1">
        <v>3.57</v>
      </c>
      <c r="U12" s="1">
        <v>6.1449999999999996</v>
      </c>
      <c r="V12" s="1">
        <v>5.3710000000000004</v>
      </c>
      <c r="W12" s="1">
        <v>1.17</v>
      </c>
      <c r="X12" s="1">
        <v>10</v>
      </c>
      <c r="Y12"/>
      <c r="Z12" s="1">
        <v>0.99</v>
      </c>
      <c r="AA12"/>
      <c r="AB12"/>
      <c r="AC12"/>
      <c r="AD12"/>
      <c r="AE12"/>
      <c r="AF12"/>
      <c r="AG12"/>
      <c r="AH12"/>
      <c r="AI12"/>
      <c r="AJ12"/>
      <c r="AK12"/>
      <c r="AL12" s="5" t="s">
        <v>56</v>
      </c>
      <c r="AM12" s="1">
        <v>7</v>
      </c>
      <c r="AN12" s="1" t="s">
        <v>55</v>
      </c>
      <c r="AO12" s="1" t="s">
        <v>59</v>
      </c>
      <c r="AP12" s="1" t="s">
        <v>61</v>
      </c>
      <c r="AQ12" s="1" t="s">
        <v>69</v>
      </c>
      <c r="AR12" s="1" t="s">
        <v>70</v>
      </c>
      <c r="AS12" s="1" t="s">
        <v>70</v>
      </c>
      <c r="AT12" s="8" t="s">
        <v>69</v>
      </c>
      <c r="AU12" s="1" t="s">
        <v>69</v>
      </c>
      <c r="AV12" s="8" t="s">
        <v>69</v>
      </c>
    </row>
    <row r="13" spans="1:48" ht="15.75" x14ac:dyDescent="0.25">
      <c r="A13" s="3" t="s">
        <v>4</v>
      </c>
      <c r="B13" s="1">
        <v>3</v>
      </c>
      <c r="C13" s="1">
        <v>1</v>
      </c>
      <c r="D13" s="1" t="s">
        <v>48</v>
      </c>
      <c r="E13" s="1" t="s">
        <v>79</v>
      </c>
      <c r="F13" s="1" t="s">
        <v>15</v>
      </c>
      <c r="G13"/>
      <c r="H13" s="1">
        <v>7700.9</v>
      </c>
      <c r="I13" s="1">
        <v>7960.5</v>
      </c>
      <c r="J13" s="1">
        <v>259.64</v>
      </c>
      <c r="K13" s="1">
        <v>521.9</v>
      </c>
      <c r="L13" s="1">
        <v>467.8</v>
      </c>
      <c r="M13" s="1">
        <v>196.91</v>
      </c>
      <c r="N13" s="1">
        <v>11</v>
      </c>
      <c r="O13"/>
      <c r="P13" s="1">
        <v>0.93</v>
      </c>
      <c r="Q13"/>
      <c r="R13" s="1">
        <v>7857</v>
      </c>
      <c r="S13" s="1">
        <v>7992.6</v>
      </c>
      <c r="T13" s="1">
        <v>135.68</v>
      </c>
      <c r="U13" s="1">
        <v>782.7</v>
      </c>
      <c r="V13" s="1">
        <v>810.3</v>
      </c>
      <c r="W13" s="1">
        <v>326.66000000000003</v>
      </c>
      <c r="X13" s="1">
        <v>11</v>
      </c>
      <c r="Y13"/>
      <c r="Z13" s="1">
        <v>0.92</v>
      </c>
      <c r="AA13"/>
      <c r="AB13"/>
      <c r="AC13"/>
      <c r="AD13"/>
      <c r="AE13"/>
      <c r="AF13"/>
      <c r="AG13"/>
      <c r="AH13"/>
      <c r="AI13"/>
      <c r="AJ13"/>
      <c r="AK13"/>
      <c r="AL13" s="5" t="s">
        <v>56</v>
      </c>
      <c r="AM13" s="1">
        <v>6</v>
      </c>
      <c r="AN13" s="1" t="s">
        <v>55</v>
      </c>
      <c r="AO13" s="1" t="s">
        <v>58</v>
      </c>
      <c r="AP13" s="1" t="s">
        <v>62</v>
      </c>
      <c r="AQ13" s="1" t="s">
        <v>69</v>
      </c>
      <c r="AR13" s="1" t="s">
        <v>70</v>
      </c>
      <c r="AS13" s="1" t="s">
        <v>70</v>
      </c>
      <c r="AT13" s="8" t="s">
        <v>69</v>
      </c>
      <c r="AU13" s="1" t="s">
        <v>69</v>
      </c>
      <c r="AV13" s="8" t="s">
        <v>69</v>
      </c>
    </row>
    <row r="14" spans="1:48" ht="15.75" x14ac:dyDescent="0.25">
      <c r="A14" s="3" t="s">
        <v>4</v>
      </c>
      <c r="B14" s="1">
        <v>3</v>
      </c>
      <c r="C14" s="1">
        <v>1</v>
      </c>
      <c r="D14" s="1" t="s">
        <v>48</v>
      </c>
      <c r="E14" s="1" t="s">
        <v>80</v>
      </c>
      <c r="F14" s="1" t="s">
        <v>15</v>
      </c>
      <c r="G14"/>
      <c r="H14" s="1">
        <v>8441.9</v>
      </c>
      <c r="I14" s="1">
        <v>8792.2999999999993</v>
      </c>
      <c r="J14" s="1">
        <v>350.45</v>
      </c>
      <c r="K14" s="1">
        <v>585.79999999999995</v>
      </c>
      <c r="L14" s="1">
        <v>519.9</v>
      </c>
      <c r="M14" s="1">
        <v>197.11</v>
      </c>
      <c r="N14" s="1">
        <v>11</v>
      </c>
      <c r="O14"/>
      <c r="P14" s="1">
        <v>0.94</v>
      </c>
      <c r="Q14"/>
      <c r="R14" s="1">
        <v>8271.9</v>
      </c>
      <c r="S14" s="1">
        <v>8492.5</v>
      </c>
      <c r="T14" s="1">
        <v>229.55</v>
      </c>
      <c r="U14" s="1">
        <v>837.4</v>
      </c>
      <c r="V14" s="1">
        <v>831.3</v>
      </c>
      <c r="W14" s="1">
        <v>233.32</v>
      </c>
      <c r="X14" s="1">
        <v>11</v>
      </c>
      <c r="Y14"/>
      <c r="Z14" s="1">
        <v>0.96</v>
      </c>
      <c r="AA14"/>
      <c r="AB14"/>
      <c r="AC14"/>
      <c r="AD14"/>
      <c r="AE14"/>
      <c r="AF14"/>
      <c r="AG14"/>
      <c r="AH14"/>
      <c r="AI14"/>
      <c r="AJ14"/>
      <c r="AK14"/>
      <c r="AL14" s="5" t="s">
        <v>56</v>
      </c>
      <c r="AM14" s="1">
        <v>6</v>
      </c>
      <c r="AN14" s="1" t="s">
        <v>55</v>
      </c>
      <c r="AO14" s="1" t="s">
        <v>58</v>
      </c>
      <c r="AP14" s="1" t="s">
        <v>62</v>
      </c>
      <c r="AQ14" s="1" t="s">
        <v>69</v>
      </c>
      <c r="AR14" s="1" t="s">
        <v>70</v>
      </c>
      <c r="AS14" s="1" t="s">
        <v>70</v>
      </c>
      <c r="AT14" s="8" t="s">
        <v>69</v>
      </c>
      <c r="AU14" s="1" t="s">
        <v>69</v>
      </c>
      <c r="AV14" s="8" t="s">
        <v>69</v>
      </c>
    </row>
    <row r="15" spans="1:48" ht="15.75" x14ac:dyDescent="0.25">
      <c r="A15" s="3" t="s">
        <v>4</v>
      </c>
      <c r="B15" s="1">
        <v>3</v>
      </c>
      <c r="C15" s="1">
        <v>1</v>
      </c>
      <c r="D15" s="1" t="s">
        <v>48</v>
      </c>
      <c r="E15" s="1" t="s">
        <v>81</v>
      </c>
      <c r="F15" s="1" t="s">
        <v>15</v>
      </c>
      <c r="G15"/>
      <c r="H15" s="1">
        <v>6759.2</v>
      </c>
      <c r="I15" s="1">
        <v>7138.6</v>
      </c>
      <c r="J15" s="1">
        <v>379.45</v>
      </c>
      <c r="K15" s="1">
        <v>721.2</v>
      </c>
      <c r="L15" s="1">
        <v>690.2</v>
      </c>
      <c r="M15" s="1">
        <v>223.54</v>
      </c>
      <c r="N15" s="1">
        <v>11</v>
      </c>
      <c r="O15"/>
      <c r="P15" s="1">
        <v>0.95</v>
      </c>
      <c r="Q15"/>
      <c r="R15" s="1">
        <v>6328</v>
      </c>
      <c r="S15" s="1">
        <v>6620.7</v>
      </c>
      <c r="T15" s="1">
        <v>292.68</v>
      </c>
      <c r="U15" s="1">
        <v>814.7</v>
      </c>
      <c r="V15" s="1">
        <v>846.1</v>
      </c>
      <c r="W15" s="1">
        <v>262.05</v>
      </c>
      <c r="X15" s="1">
        <v>11</v>
      </c>
      <c r="Y15"/>
      <c r="Z15" s="1">
        <v>0.95</v>
      </c>
      <c r="AA15"/>
      <c r="AB15"/>
      <c r="AC15"/>
      <c r="AD15"/>
      <c r="AE15"/>
      <c r="AF15"/>
      <c r="AG15"/>
      <c r="AH15"/>
      <c r="AI15"/>
      <c r="AJ15"/>
      <c r="AK15"/>
      <c r="AL15" s="5" t="s">
        <v>56</v>
      </c>
      <c r="AM15" s="1">
        <v>6</v>
      </c>
      <c r="AN15" s="1" t="s">
        <v>55</v>
      </c>
      <c r="AO15" s="1" t="s">
        <v>58</v>
      </c>
      <c r="AP15" s="1" t="s">
        <v>62</v>
      </c>
      <c r="AQ15" s="1" t="s">
        <v>69</v>
      </c>
      <c r="AR15" s="1" t="s">
        <v>70</v>
      </c>
      <c r="AS15" s="1" t="s">
        <v>70</v>
      </c>
      <c r="AT15" s="8" t="s">
        <v>69</v>
      </c>
      <c r="AU15" s="1" t="s">
        <v>69</v>
      </c>
      <c r="AV15" s="8" t="s">
        <v>69</v>
      </c>
    </row>
    <row r="16" spans="1:48" ht="15.75" x14ac:dyDescent="0.25">
      <c r="A16" s="3" t="s">
        <v>5</v>
      </c>
      <c r="B16" s="1">
        <v>4</v>
      </c>
      <c r="C16" s="1">
        <v>1</v>
      </c>
      <c r="D16" s="1" t="s">
        <v>48</v>
      </c>
      <c r="E16" s="1" t="s">
        <v>82</v>
      </c>
      <c r="F16" s="1" t="s">
        <v>16</v>
      </c>
      <c r="G16" s="1">
        <v>-1.9620823415415966E-3</v>
      </c>
      <c r="H16" s="1">
        <v>15.67</v>
      </c>
      <c r="I16" s="1">
        <v>19.95</v>
      </c>
      <c r="J16" s="1">
        <v>4.28</v>
      </c>
      <c r="K16" s="1">
        <v>4.43</v>
      </c>
      <c r="L16" s="1">
        <v>3.29</v>
      </c>
      <c r="M16" s="5">
        <v>2.8140599377648905</v>
      </c>
      <c r="N16" s="1">
        <v>10</v>
      </c>
      <c r="O16"/>
      <c r="P16" s="1">
        <v>0.77</v>
      </c>
      <c r="Q16"/>
      <c r="R16" s="1">
        <v>14.82</v>
      </c>
      <c r="S16" s="1">
        <v>18.350000000000001</v>
      </c>
      <c r="T16" s="1">
        <v>3.5269999999999997</v>
      </c>
      <c r="U16" s="1">
        <v>4.25</v>
      </c>
      <c r="V16" s="1">
        <v>4.2</v>
      </c>
      <c r="W16" s="5">
        <v>2.8575593704340698</v>
      </c>
      <c r="X16" s="1">
        <v>10</v>
      </c>
      <c r="Y16"/>
      <c r="Z16" s="1">
        <v>0.77</v>
      </c>
      <c r="AA16"/>
      <c r="AB16"/>
      <c r="AC16"/>
      <c r="AD16"/>
      <c r="AE16"/>
      <c r="AF16"/>
      <c r="AG16"/>
      <c r="AH16"/>
      <c r="AI16"/>
      <c r="AJ16"/>
      <c r="AK16"/>
      <c r="AL16" s="5" t="s">
        <v>56</v>
      </c>
      <c r="AM16" s="1">
        <v>8</v>
      </c>
      <c r="AN16" s="1" t="s">
        <v>55</v>
      </c>
      <c r="AO16" s="1" t="s">
        <v>59</v>
      </c>
      <c r="AP16" s="1" t="s">
        <v>62</v>
      </c>
      <c r="AQ16" s="1" t="s">
        <v>69</v>
      </c>
      <c r="AR16" s="1" t="s">
        <v>70</v>
      </c>
      <c r="AS16" s="1" t="s">
        <v>70</v>
      </c>
      <c r="AT16" s="1" t="s">
        <v>69</v>
      </c>
      <c r="AU16" s="5" t="s">
        <v>69</v>
      </c>
      <c r="AV16" s="1" t="s">
        <v>69</v>
      </c>
    </row>
    <row r="17" spans="1:48" ht="15.75" x14ac:dyDescent="0.25">
      <c r="A17" s="3" t="s">
        <v>5</v>
      </c>
      <c r="B17" s="1">
        <v>4</v>
      </c>
      <c r="C17" s="1">
        <v>1</v>
      </c>
      <c r="D17" s="1" t="s">
        <v>48</v>
      </c>
      <c r="E17" s="1" t="s">
        <v>83</v>
      </c>
      <c r="F17" s="1" t="s">
        <v>16</v>
      </c>
      <c r="G17" s="1">
        <v>1.8945941940727601E-2</v>
      </c>
      <c r="H17" s="1">
        <v>15.74</v>
      </c>
      <c r="I17" s="1">
        <v>18.11</v>
      </c>
      <c r="J17" s="1">
        <v>2.3679999999999994</v>
      </c>
      <c r="K17" s="1">
        <v>3.49</v>
      </c>
      <c r="L17" s="1">
        <v>4.2</v>
      </c>
      <c r="M17" s="5">
        <v>1.4190748159745952</v>
      </c>
      <c r="N17" s="1">
        <v>10</v>
      </c>
      <c r="O17"/>
      <c r="P17" s="1">
        <v>0.95</v>
      </c>
      <c r="Q17"/>
      <c r="R17" s="1">
        <v>15.28</v>
      </c>
      <c r="S17" s="1">
        <v>19.559999999999999</v>
      </c>
      <c r="T17" s="1">
        <v>4.2869999999999999</v>
      </c>
      <c r="U17" s="1">
        <v>4</v>
      </c>
      <c r="V17" s="1">
        <v>4.1100000000000003</v>
      </c>
      <c r="W17" s="5">
        <v>1.9669268189516136</v>
      </c>
      <c r="X17" s="1">
        <v>10</v>
      </c>
      <c r="Y17"/>
      <c r="Z17" s="1">
        <v>0.88</v>
      </c>
      <c r="AA17"/>
      <c r="AB17"/>
      <c r="AC17"/>
      <c r="AD17"/>
      <c r="AE17"/>
      <c r="AF17"/>
      <c r="AG17"/>
      <c r="AH17"/>
      <c r="AI17"/>
      <c r="AJ17"/>
      <c r="AK17"/>
      <c r="AL17" s="5" t="s">
        <v>56</v>
      </c>
      <c r="AM17" s="1">
        <v>8</v>
      </c>
      <c r="AN17" s="1" t="s">
        <v>55</v>
      </c>
      <c r="AO17" s="1" t="s">
        <v>59</v>
      </c>
      <c r="AP17" s="1" t="s">
        <v>62</v>
      </c>
      <c r="AQ17" s="1" t="s">
        <v>69</v>
      </c>
      <c r="AR17" s="1" t="s">
        <v>70</v>
      </c>
      <c r="AS17" s="1" t="s">
        <v>70</v>
      </c>
      <c r="AT17" s="1" t="s">
        <v>69</v>
      </c>
      <c r="AU17" s="5" t="s">
        <v>69</v>
      </c>
      <c r="AV17" s="1" t="s">
        <v>69</v>
      </c>
    </row>
    <row r="18" spans="1:48" ht="15.75" x14ac:dyDescent="0.25">
      <c r="A18" s="3" t="s">
        <v>5</v>
      </c>
      <c r="B18" s="1">
        <v>4</v>
      </c>
      <c r="C18" s="1">
        <v>1</v>
      </c>
      <c r="D18" s="1" t="s">
        <v>48</v>
      </c>
      <c r="E18" s="1" t="s">
        <v>84</v>
      </c>
      <c r="F18" s="1" t="s">
        <v>16</v>
      </c>
      <c r="G18" s="1">
        <v>0.61185271045270184</v>
      </c>
      <c r="H18" s="1">
        <v>19.55</v>
      </c>
      <c r="I18" s="1">
        <v>21.57</v>
      </c>
      <c r="J18" s="1">
        <v>2.0159999999999991</v>
      </c>
      <c r="K18" s="1">
        <v>1.93</v>
      </c>
      <c r="L18" s="1">
        <v>3.12</v>
      </c>
      <c r="M18" s="5">
        <v>2.1045358422015776</v>
      </c>
      <c r="N18" s="1">
        <v>10</v>
      </c>
      <c r="O18"/>
      <c r="P18" s="1">
        <v>0.75</v>
      </c>
      <c r="Q18"/>
      <c r="R18" s="1">
        <v>19.059999999999999</v>
      </c>
      <c r="S18" s="1">
        <v>21.9</v>
      </c>
      <c r="T18" s="1">
        <v>2.8370000000000006</v>
      </c>
      <c r="U18" s="1">
        <v>3.5</v>
      </c>
      <c r="V18" s="1">
        <v>3.98</v>
      </c>
      <c r="W18" s="5">
        <v>2.3687458003480795</v>
      </c>
      <c r="X18" s="1">
        <v>10</v>
      </c>
      <c r="Y18"/>
      <c r="Z18" s="1">
        <v>0.81</v>
      </c>
      <c r="AA18"/>
      <c r="AB18"/>
      <c r="AC18"/>
      <c r="AD18"/>
      <c r="AE18"/>
      <c r="AF18"/>
      <c r="AG18"/>
      <c r="AH18"/>
      <c r="AI18"/>
      <c r="AJ18"/>
      <c r="AK18"/>
      <c r="AL18" s="5" t="s">
        <v>56</v>
      </c>
      <c r="AM18" s="1">
        <v>8</v>
      </c>
      <c r="AN18" s="1" t="s">
        <v>55</v>
      </c>
      <c r="AO18" s="1" t="s">
        <v>59</v>
      </c>
      <c r="AP18" s="1" t="s">
        <v>62</v>
      </c>
      <c r="AQ18" s="1" t="s">
        <v>69</v>
      </c>
      <c r="AR18" s="1" t="s">
        <v>70</v>
      </c>
      <c r="AS18" s="1" t="s">
        <v>70</v>
      </c>
      <c r="AT18" s="1" t="s">
        <v>69</v>
      </c>
      <c r="AU18" s="5" t="s">
        <v>69</v>
      </c>
      <c r="AV18" s="1" t="s">
        <v>69</v>
      </c>
    </row>
    <row r="19" spans="1:48" ht="15.75" x14ac:dyDescent="0.25">
      <c r="A19" s="3" t="s">
        <v>7</v>
      </c>
      <c r="B19" s="1">
        <v>5</v>
      </c>
      <c r="C19" s="1">
        <v>1</v>
      </c>
      <c r="D19" s="1" t="s">
        <v>48</v>
      </c>
      <c r="E19" s="1" t="s">
        <v>87</v>
      </c>
      <c r="F19" s="1" t="s">
        <v>16</v>
      </c>
      <c r="G19" s="1">
        <v>0.40048949669766742</v>
      </c>
      <c r="H19" s="5">
        <v>6.6423076923076918</v>
      </c>
      <c r="I19" s="5">
        <v>6.8853846153846154</v>
      </c>
      <c r="J19" s="5">
        <v>0.24307692307692308</v>
      </c>
      <c r="K19" s="5">
        <v>0.88527918238780856</v>
      </c>
      <c r="L19" s="5">
        <v>0.95727578214270104</v>
      </c>
      <c r="M19" s="5">
        <v>0.28540569415554812</v>
      </c>
      <c r="N19" s="1">
        <v>13</v>
      </c>
      <c r="O19"/>
      <c r="P19" s="5">
        <v>0.95</v>
      </c>
      <c r="Q19"/>
      <c r="R19" s="5">
        <v>6.7261538461538457</v>
      </c>
      <c r="S19" s="5">
        <v>6.9330769230769231</v>
      </c>
      <c r="T19" s="5">
        <v>0.20692307692307688</v>
      </c>
      <c r="U19" s="5">
        <v>0.95838004345473726</v>
      </c>
      <c r="V19" s="5">
        <v>0.93644171037127422</v>
      </c>
      <c r="W19" s="5">
        <v>0.31883602408826101</v>
      </c>
      <c r="X19" s="1">
        <v>13</v>
      </c>
      <c r="Y19"/>
      <c r="Z19" s="5">
        <v>0.94</v>
      </c>
      <c r="AA19"/>
      <c r="AB19"/>
      <c r="AC19"/>
      <c r="AD19"/>
      <c r="AE19"/>
      <c r="AF19"/>
      <c r="AG19"/>
      <c r="AH19"/>
      <c r="AI19"/>
      <c r="AJ19"/>
      <c r="AK19"/>
      <c r="AL19" s="5" t="s">
        <v>57</v>
      </c>
      <c r="AM19" s="1">
        <v>8</v>
      </c>
      <c r="AN19" s="1" t="s">
        <v>54</v>
      </c>
      <c r="AO19" s="1" t="s">
        <v>59</v>
      </c>
      <c r="AP19" s="1" t="s">
        <v>61</v>
      </c>
      <c r="AQ19" s="1" t="s">
        <v>70</v>
      </c>
      <c r="AR19" s="1" t="s">
        <v>70</v>
      </c>
      <c r="AS19" s="1" t="s">
        <v>70</v>
      </c>
      <c r="AT19" s="8" t="s">
        <v>69</v>
      </c>
      <c r="AU19" s="8" t="s">
        <v>69</v>
      </c>
      <c r="AV19" s="8" t="s">
        <v>69</v>
      </c>
    </row>
    <row r="20" spans="1:48" ht="15.75" x14ac:dyDescent="0.25">
      <c r="A20" s="3" t="s">
        <v>7</v>
      </c>
      <c r="B20" s="1">
        <v>5</v>
      </c>
      <c r="C20" s="1">
        <v>1</v>
      </c>
      <c r="D20" s="1" t="s">
        <v>48</v>
      </c>
      <c r="E20" s="1" t="s">
        <v>88</v>
      </c>
      <c r="F20" s="1" t="s">
        <v>16</v>
      </c>
      <c r="G20" s="1">
        <v>0.69827604962976197</v>
      </c>
      <c r="H20" s="5">
        <v>5.2446153846153845</v>
      </c>
      <c r="I20" s="5">
        <v>5.5284615384615376</v>
      </c>
      <c r="J20" s="5">
        <v>0.28384615384615391</v>
      </c>
      <c r="K20" s="5">
        <v>0.91667529133472336</v>
      </c>
      <c r="L20" s="5">
        <v>0.91448388134005831</v>
      </c>
      <c r="M20" s="5">
        <v>0.34277150945244517</v>
      </c>
      <c r="N20" s="1">
        <v>13</v>
      </c>
      <c r="O20"/>
      <c r="P20" s="5">
        <v>0.93</v>
      </c>
      <c r="Q20"/>
      <c r="R20" s="5">
        <v>5.5084615384615399</v>
      </c>
      <c r="S20" s="5">
        <v>5.634615384615385</v>
      </c>
      <c r="T20" s="5">
        <v>0.12615384615384606</v>
      </c>
      <c r="U20" s="5">
        <v>0.94138060097785348</v>
      </c>
      <c r="V20" s="5">
        <v>0.96652828364043664</v>
      </c>
      <c r="W20" s="5">
        <v>0.32389654885313979</v>
      </c>
      <c r="X20" s="1">
        <v>13</v>
      </c>
      <c r="Y20"/>
      <c r="Z20" s="5">
        <v>0.94</v>
      </c>
      <c r="AA20"/>
      <c r="AB20"/>
      <c r="AC20"/>
      <c r="AD20"/>
      <c r="AE20"/>
      <c r="AF20"/>
      <c r="AG20"/>
      <c r="AH20"/>
      <c r="AI20"/>
      <c r="AJ20"/>
      <c r="AK20"/>
      <c r="AL20" s="5" t="s">
        <v>57</v>
      </c>
      <c r="AM20" s="1">
        <v>8</v>
      </c>
      <c r="AN20" s="1" t="s">
        <v>54</v>
      </c>
      <c r="AO20" s="1" t="s">
        <v>59</v>
      </c>
      <c r="AP20" s="1" t="s">
        <v>61</v>
      </c>
      <c r="AQ20" s="1" t="s">
        <v>70</v>
      </c>
      <c r="AR20" s="1" t="s">
        <v>70</v>
      </c>
      <c r="AS20" s="1" t="s">
        <v>70</v>
      </c>
      <c r="AT20" s="8" t="s">
        <v>69</v>
      </c>
      <c r="AU20" s="8" t="s">
        <v>69</v>
      </c>
      <c r="AV20" s="8" t="s">
        <v>69</v>
      </c>
    </row>
    <row r="21" spans="1:48" x14ac:dyDescent="0.2">
      <c r="A21" s="3" t="s">
        <v>2</v>
      </c>
      <c r="B21" s="1">
        <v>1</v>
      </c>
      <c r="C21" s="1">
        <v>1</v>
      </c>
      <c r="D21" s="1" t="s">
        <v>49</v>
      </c>
      <c r="E21" s="1" t="s">
        <v>85</v>
      </c>
      <c r="F21" s="1" t="s">
        <v>15</v>
      </c>
      <c r="H21" s="1">
        <v>66</v>
      </c>
      <c r="I21" s="1">
        <v>69</v>
      </c>
      <c r="J21" s="1">
        <f>I21-H21</f>
        <v>3</v>
      </c>
      <c r="K21" s="1">
        <v>11</v>
      </c>
      <c r="L21" s="1">
        <v>11</v>
      </c>
      <c r="M21" s="5">
        <v>3.36</v>
      </c>
      <c r="N21" s="1">
        <v>10</v>
      </c>
      <c r="O21" s="1">
        <v>0.02</v>
      </c>
      <c r="P21" s="1">
        <v>0.95</v>
      </c>
      <c r="Q21" s="1">
        <v>2.82</v>
      </c>
      <c r="R21" s="1">
        <v>69</v>
      </c>
      <c r="S21" s="1">
        <v>70</v>
      </c>
      <c r="T21" s="1">
        <f t="shared" ref="T21" si="0">S21-R21</f>
        <v>1</v>
      </c>
      <c r="U21" s="1">
        <v>9</v>
      </c>
      <c r="V21" s="1">
        <v>9</v>
      </c>
      <c r="W21" s="5">
        <v>3.37</v>
      </c>
      <c r="X21" s="1">
        <v>9</v>
      </c>
      <c r="Y21" s="1">
        <v>0.4</v>
      </c>
      <c r="Z21" s="1">
        <v>0.93</v>
      </c>
      <c r="AA21" s="1">
        <v>0.88880000000000003</v>
      </c>
      <c r="AB21" s="1">
        <v>61</v>
      </c>
      <c r="AC21" s="1">
        <v>62</v>
      </c>
      <c r="AD21" s="1">
        <f t="shared" ref="AD21" si="1">AC21-AB21</f>
        <v>1</v>
      </c>
      <c r="AE21" s="1">
        <v>9</v>
      </c>
      <c r="AF21" s="1">
        <v>9</v>
      </c>
      <c r="AG21" s="5">
        <v>3.03</v>
      </c>
      <c r="AH21" s="1">
        <v>11</v>
      </c>
      <c r="AI21" s="1">
        <v>0.3</v>
      </c>
      <c r="AJ21" s="1">
        <v>0.94</v>
      </c>
      <c r="AK21" s="1">
        <v>1.0930599999999999</v>
      </c>
      <c r="AL21" s="5" t="s">
        <v>57</v>
      </c>
      <c r="AM21" s="1">
        <v>4</v>
      </c>
      <c r="AN21" s="1" t="s">
        <v>54</v>
      </c>
      <c r="AO21" s="5" t="s">
        <v>58</v>
      </c>
      <c r="AQ21" s="1" t="s">
        <v>69</v>
      </c>
      <c r="AR21" s="1" t="s">
        <v>70</v>
      </c>
      <c r="AS21" s="1" t="s">
        <v>70</v>
      </c>
      <c r="AT21" s="8" t="s">
        <v>69</v>
      </c>
      <c r="AU21" s="8" t="s">
        <v>69</v>
      </c>
      <c r="AV21" s="8" t="s">
        <v>69</v>
      </c>
    </row>
    <row r="22" spans="1:48" x14ac:dyDescent="0.2">
      <c r="A22" s="3" t="s">
        <v>4</v>
      </c>
      <c r="B22" s="1">
        <v>2</v>
      </c>
      <c r="C22" s="1">
        <v>1</v>
      </c>
      <c r="D22" s="1" t="s">
        <v>49</v>
      </c>
      <c r="E22" s="1" t="s">
        <v>86</v>
      </c>
      <c r="F22" s="1" t="s">
        <v>15</v>
      </c>
      <c r="H22" s="1">
        <v>37</v>
      </c>
      <c r="I22" s="1">
        <v>40.1</v>
      </c>
      <c r="J22" s="1">
        <v>3.1</v>
      </c>
      <c r="K22" s="1">
        <v>2.7</v>
      </c>
      <c r="L22" s="1">
        <v>4.4000000000000004</v>
      </c>
      <c r="M22" s="1">
        <v>3.45</v>
      </c>
      <c r="N22" s="1">
        <v>11</v>
      </c>
      <c r="P22" s="1">
        <v>0.62</v>
      </c>
      <c r="R22" s="1">
        <v>35.799999999999997</v>
      </c>
      <c r="S22" s="1">
        <v>37.299999999999997</v>
      </c>
      <c r="T22" s="1">
        <v>1.5</v>
      </c>
      <c r="U22" s="1">
        <v>4.7</v>
      </c>
      <c r="V22" s="1">
        <v>5.2</v>
      </c>
      <c r="W22" s="1">
        <v>2.92</v>
      </c>
      <c r="X22" s="1">
        <v>11</v>
      </c>
      <c r="Z22" s="1">
        <v>0.83</v>
      </c>
      <c r="AL22" s="5" t="s">
        <v>56</v>
      </c>
      <c r="AM22" s="1">
        <v>6</v>
      </c>
      <c r="AN22" s="1" t="s">
        <v>55</v>
      </c>
      <c r="AO22" s="1" t="s">
        <v>58</v>
      </c>
      <c r="AQ22" s="1" t="s">
        <v>69</v>
      </c>
      <c r="AR22" s="1" t="s">
        <v>70</v>
      </c>
      <c r="AS22" s="1" t="s">
        <v>70</v>
      </c>
      <c r="AT22" s="8" t="s">
        <v>69</v>
      </c>
      <c r="AU22" s="1" t="s">
        <v>69</v>
      </c>
      <c r="AV22" s="8" t="s">
        <v>69</v>
      </c>
    </row>
    <row r="23" spans="1:48" x14ac:dyDescent="0.2">
      <c r="A23" s="3" t="s">
        <v>6</v>
      </c>
      <c r="B23" s="1">
        <v>3</v>
      </c>
      <c r="C23" s="1">
        <v>1</v>
      </c>
      <c r="D23" s="1" t="s">
        <v>49</v>
      </c>
      <c r="E23" s="1" t="s">
        <v>86</v>
      </c>
      <c r="F23" s="1" t="s">
        <v>15</v>
      </c>
      <c r="H23" s="5">
        <v>36.376363636363635</v>
      </c>
      <c r="I23" s="5">
        <v>38.24727272727273</v>
      </c>
      <c r="J23" s="5">
        <v>1.8709090909090904</v>
      </c>
      <c r="K23" s="5">
        <v>2.7661716242029253</v>
      </c>
      <c r="L23" s="5">
        <v>4.9338202052954543</v>
      </c>
      <c r="M23" s="5">
        <v>3.0969354353794811</v>
      </c>
      <c r="N23" s="1">
        <v>11</v>
      </c>
      <c r="P23" s="1">
        <v>0.82</v>
      </c>
      <c r="R23" s="5">
        <v>38.787272727272736</v>
      </c>
      <c r="S23" s="5">
        <v>36.861818181818187</v>
      </c>
      <c r="T23" s="5">
        <v>-1.9254545454545442</v>
      </c>
      <c r="U23" s="5">
        <v>4.227484100287227</v>
      </c>
      <c r="V23" s="5">
        <v>4.7531880210692359</v>
      </c>
      <c r="W23" s="5">
        <v>2.8827117914781684</v>
      </c>
      <c r="X23" s="1">
        <v>11</v>
      </c>
      <c r="Z23" s="1">
        <v>0.8</v>
      </c>
      <c r="AL23" s="5" t="s">
        <v>57</v>
      </c>
      <c r="AM23" s="1">
        <v>4</v>
      </c>
      <c r="AN23" s="1" t="s">
        <v>54</v>
      </c>
      <c r="AO23" s="1" t="s">
        <v>58</v>
      </c>
      <c r="AQ23" s="1" t="s">
        <v>69</v>
      </c>
      <c r="AR23" s="1" t="s">
        <v>70</v>
      </c>
      <c r="AS23" s="1" t="s">
        <v>70</v>
      </c>
      <c r="AT23" s="1" t="s">
        <v>69</v>
      </c>
      <c r="AU23" s="5" t="s">
        <v>69</v>
      </c>
      <c r="AV23" s="1" t="s">
        <v>69</v>
      </c>
    </row>
    <row r="24" spans="1:48" x14ac:dyDescent="0.2"/>
    <row r="25" spans="1:48" x14ac:dyDescent="0.2"/>
    <row r="26" spans="1:48" x14ac:dyDescent="0.2"/>
    <row r="27" spans="1:48" x14ac:dyDescent="0.2"/>
    <row r="28" spans="1:48" x14ac:dyDescent="0.2"/>
    <row r="29" spans="1:48" x14ac:dyDescent="0.2"/>
    <row r="30" spans="1:48" x14ac:dyDescent="0.2"/>
    <row r="31" spans="1:48" x14ac:dyDescent="0.2"/>
    <row r="32" spans="1:48" x14ac:dyDescent="0.2"/>
    <row r="33" x14ac:dyDescent="0.2"/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FA490633B582438A9278EA53C29BC6" ma:contentTypeVersion="4" ma:contentTypeDescription="Opret et nyt dokument." ma:contentTypeScope="" ma:versionID="56e143c6537b4395beff3f439e7d9f39">
  <xsd:schema xmlns:xsd="http://www.w3.org/2001/XMLSchema" xmlns:xs="http://www.w3.org/2001/XMLSchema" xmlns:p="http://schemas.microsoft.com/office/2006/metadata/properties" xmlns:ns2="10c21fc2-a2e2-436c-9ed1-733cae1daf8f" targetNamespace="http://schemas.microsoft.com/office/2006/metadata/properties" ma:root="true" ma:fieldsID="db82aecff92d317c701cc822ecfbf0f1" ns2:_="">
    <xsd:import namespace="10c21fc2-a2e2-436c-9ed1-733cae1da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21fc2-a2e2-436c-9ed1-733cae1daf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4CB2C-2F45-4DA8-966B-1425E3A52F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21449C-9298-4534-8D1C-76460E1662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72E68F-DD00-463F-BFE3-0D7B56E1C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c21fc2-a2e2-436c-9ed1-733cae1da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Amdi</dc:creator>
  <cp:keywords/>
  <dc:description/>
  <cp:lastModifiedBy>Andrew King</cp:lastModifiedBy>
  <cp:revision/>
  <dcterms:created xsi:type="dcterms:W3CDTF">2023-12-10T21:47:46Z</dcterms:created>
  <dcterms:modified xsi:type="dcterms:W3CDTF">2024-07-30T11:26:14Z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0x01010012FA490633B582438A9278EA53C29BC6</vt:lpwstr>
  </property>
</Properties>
</file>